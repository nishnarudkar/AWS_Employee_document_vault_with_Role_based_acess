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Assumptions" sheetId="2" r:id="rId6"/>
    <sheet state="visible" name="Usage Calculation" sheetId="3" r:id="rId7"/>
    <sheet state="visible" name="Cost Calculation" sheetId="4" r:id="rId8"/>
    <sheet state="visible" name="Before vs After" sheetId="5" r:id="rId9"/>
    <sheet state="visible" name="Pricing Sources" sheetId="6" r:id="rId10"/>
  </sheets>
  <definedNames/>
  <calcPr/>
</workbook>
</file>

<file path=xl/sharedStrings.xml><?xml version="1.0" encoding="utf-8"?>
<sst xmlns="http://schemas.openxmlformats.org/spreadsheetml/2006/main" count="200" uniqueCount="175">
  <si>
    <t>Monthly Usage Calculation</t>
  </si>
  <si>
    <t>Employee Document Vault — Cost Estimation</t>
  </si>
  <si>
    <t>Employee Document Vault — Cost Estimate</t>
  </si>
  <si>
    <t>Metric</t>
  </si>
  <si>
    <t>Formula / basis</t>
  </si>
  <si>
    <t>10 users/day</t>
  </si>
  <si>
    <t>500 users/day</t>
  </si>
  <si>
    <t>5,000 users/day</t>
  </si>
  <si>
    <t>API requests/month</t>
  </si>
  <si>
    <t>Assumption</t>
  </si>
  <si>
    <t>Item</t>
  </si>
  <si>
    <t>users × (2 + 0.5 + 1 + 0.2) × 30</t>
  </si>
  <si>
    <t>Value</t>
  </si>
  <si>
    <t>Basis / note</t>
  </si>
  <si>
    <t>Details</t>
  </si>
  <si>
    <t>AWS Region</t>
  </si>
  <si>
    <t>us-east-1 (US East / N. Virginia)</t>
  </si>
  <si>
    <t>Observed from AWS console screenshots</t>
  </si>
  <si>
    <t>Purpose</t>
  </si>
  <si>
    <t>Submission-ready cost model for the three-tier serverless Employee Document Vault.</t>
  </si>
  <si>
    <t>Users/day — Low</t>
  </si>
  <si>
    <t>Workloads</t>
  </si>
  <si>
    <t>Assignment workload</t>
  </si>
  <si>
    <t>10, 500 and 5,000 users/day, 30-day month.</t>
  </si>
  <si>
    <t>Users/day — Medium</t>
  </si>
  <si>
    <t>Pricing basis</t>
  </si>
  <si>
    <t>Public AWS list prices for us-east-1; account-specific free-tier credits, coupons and negotiated discounts are excluded from the gross estimate.</t>
  </si>
  <si>
    <t>Users/day — High</t>
  </si>
  <si>
    <t>Observed inputs</t>
  </si>
  <si>
    <t>Lambda 128 MB, ~0.19 sec average duration; DynamoDB employee_documents is on-demand; S3 bucket is in us-east-1 with versioning/SSE-S3 and a lifecycle rule; API is a Regional REST API; four Lambda log groups; X-Ray active at the API stage.</t>
  </si>
  <si>
    <t>Days/month</t>
  </si>
  <si>
    <t>Model assumptions</t>
  </si>
  <si>
    <t>Cost-model assumption</t>
  </si>
  <si>
    <t>3.7 API requests/user/day; 3 DynamoDB reads/user/day; 0.7 writes/user/day; 3 KB document; 2 KB CloudWatch logs/invocation; 100% X-Ray sampling; 1,000 SNS publishes/month.</t>
  </si>
  <si>
    <t>List requests/user/day</t>
  </si>
  <si>
    <t>Important limitation</t>
  </si>
  <si>
    <t>API Gateway data-transfer charges are excluded because the assignment/screenshots do not provide a reliable response/request payload size for every endpoint.</t>
  </si>
  <si>
    <t>Upload requests/user/day</t>
  </si>
  <si>
    <t>The current Lambda architecture was not visible in the screenshots. The ARM64 optimization is therefore modeled, not represented as an already-applied AWS change.</t>
  </si>
  <si>
    <t>Download requests/user/day</t>
  </si>
  <si>
    <t>Optimization recommendation</t>
  </si>
  <si>
    <t>If the current functions are x86_64 and dependencies are ARM-compatible, test ARM64/Graviton and compare latency before switching production traffic.</t>
  </si>
  <si>
    <t>Delete requests/user/day</t>
  </si>
  <si>
    <t>Average document size (KB)</t>
  </si>
  <si>
    <t>Observed: appraisal 2.8 KB, offer 3.4 KB, payslip 2.8 KB</t>
  </si>
  <si>
    <t>Lambda memory (MB)</t>
  </si>
  <si>
    <t>Observed in Lambda configuration</t>
  </si>
  <si>
    <t>Lambda duration (seconds)</t>
  </si>
  <si>
    <t>Observed average duration on Lambda dashboard</t>
  </si>
  <si>
    <t>Lambda invocations/month</t>
  </si>
  <si>
    <t>1 Lambda invocation per API request</t>
  </si>
  <si>
    <t>CloudWatch log volume/invocation (KB)</t>
  </si>
  <si>
    <t>Planning assumption; not a measured full-workload value</t>
  </si>
  <si>
    <t>DynamoDB read consistency</t>
  </si>
  <si>
    <t>Eventually consistent</t>
  </si>
  <si>
    <t>Planning assumption; item size is below 4 KB</t>
  </si>
  <si>
    <t>X-Ray sampling</t>
  </si>
  <si>
    <t>100%</t>
  </si>
  <si>
    <t>Conservative cost-model assumption because sampling configuration was not visible</t>
  </si>
  <si>
    <t>SNS alarm notifications/month</t>
  </si>
  <si>
    <t>Lambda GB-seconds/month</t>
  </si>
  <si>
    <t>Planning assumption; actual alarm frequency may be lower/higher</t>
  </si>
  <si>
    <t>invocations × (128/1024 GB) × 0.19 sec</t>
  </si>
  <si>
    <t>AWS public list prices, us-east-1</t>
  </si>
  <si>
    <t>Free-tier/credits excluded from gross estimate</t>
  </si>
  <si>
    <t>Observed AWS configuration / evidence</t>
  </si>
  <si>
    <t>List requests/month</t>
  </si>
  <si>
    <t>users × 2 × 30</t>
  </si>
  <si>
    <t>DynamoDB table</t>
  </si>
  <si>
    <t>employee_documents</t>
  </si>
  <si>
    <t>On-demand; 14 items; 3.5 KB table size</t>
  </si>
  <si>
    <t>S3 bucket</t>
  </si>
  <si>
    <t>employee-document-vault-nikitha-2026</t>
  </si>
  <si>
    <t>us-east-1; versioning enabled; SSE-S3; lifecycle rule present</t>
  </si>
  <si>
    <t>S3 document structure</t>
  </si>
  <si>
    <t>documents/emp001/{Appraisal,OfferLetter,PaySlip}</t>
  </si>
  <si>
    <t>Observed PDFs around 2.8–3.4 KB each</t>
  </si>
  <si>
    <t>API</t>
  </si>
  <si>
    <t>employee-document-vault-api</t>
  </si>
  <si>
    <t>REST, Regional, prod stage</t>
  </si>
  <si>
    <t>API resources</t>
  </si>
  <si>
    <t>/files, /files/{doc_id}, /upload, /download/{doc_id}</t>
  </si>
  <si>
    <t>Observed in API Gateway</t>
  </si>
  <si>
    <t>Lambda functions</t>
  </si>
  <si>
    <t>Upload requests/month</t>
  </si>
  <si>
    <t>deleteDocument, listDocuments, uploadDocument, downloadDocument</t>
  </si>
  <si>
    <t>users × 0.5 × 30</t>
  </si>
  <si>
    <t>Python 3.12; 128 MB</t>
  </si>
  <si>
    <t>CloudWatch log groups</t>
  </si>
  <si>
    <t>4 Lambda log groups</t>
  </si>
  <si>
    <t>Retention shown as Never expire</t>
  </si>
  <si>
    <t>X-Ray</t>
  </si>
  <si>
    <t>Active on API Gateway prod stage</t>
  </si>
  <si>
    <t>Detailed metrics/logging inactive in shown stage</t>
  </si>
  <si>
    <t>Download requests/month</t>
  </si>
  <si>
    <t>users × 1 × 30</t>
  </si>
  <si>
    <t>Delete requests/month</t>
  </si>
  <si>
    <t>users × 0.2 × 30; S3 DELETE request is free</t>
  </si>
  <si>
    <t>Documents uploaded/month</t>
  </si>
  <si>
    <t>same as upload requests</t>
  </si>
  <si>
    <t>S3 storage added/month (GB)</t>
  </si>
  <si>
    <t>uploads × 3 KB ÷ 1024 ÷ 1024</t>
  </si>
  <si>
    <t>DynamoDB reads/month</t>
  </si>
  <si>
    <t>users × 3 reads/user/day × 30; eventually consistent, ≤4 KB</t>
  </si>
  <si>
    <t>DynamoDB writes/month</t>
  </si>
  <si>
    <t>users × 0.7 writes/user/day × 30; ≤1 KB/item</t>
  </si>
  <si>
    <t>CloudWatch log ingestion (GB/month)</t>
  </si>
  <si>
    <t>Lambda invocations × 2 KB ÷ 1024 ÷ 1024</t>
  </si>
  <si>
    <t>X-Ray traces/month</t>
  </si>
  <si>
    <t>Lambda/API requests × 100% sampling</t>
  </si>
  <si>
    <t>SNS publish requests/month</t>
  </si>
  <si>
    <t>planning assumption</t>
  </si>
  <si>
    <t>Cost Optimization — Modeled Lambda ARM64 Migration</t>
  </si>
  <si>
    <t>Optimization</t>
  </si>
  <si>
    <t>AWS Pricing Sources — checked September 2026</t>
  </si>
  <si>
    <t>Move Lambda functions from x86_64 to arm64 (Graviton), after compatibility/performance testing.</t>
  </si>
  <si>
    <t>Service</t>
  </si>
  <si>
    <t>Status</t>
  </si>
  <si>
    <t>Rate used</t>
  </si>
  <si>
    <t>Source</t>
  </si>
  <si>
    <t>MODELED — not claimed as implemented in AWS from the screenshots provided.</t>
  </si>
  <si>
    <t>URL</t>
  </si>
  <si>
    <t>Why</t>
  </si>
  <si>
    <t>AWS documents ARM64 Lambda as lower-cost than x86 for duration charges; Python 3.12 is supported.</t>
  </si>
  <si>
    <t>Lambda</t>
  </si>
  <si>
    <t>$0.20/M requests; $0.0000166667/GB-s x86; ARM duration is lower</t>
  </si>
  <si>
    <t>Expected duration-price reduction</t>
  </si>
  <si>
    <t>AWS Lambda Pricing</t>
  </si>
  <si>
    <t>https://aws.amazon.com/lambda/pricing/</t>
  </si>
  <si>
    <t>20% lower Lambda duration price versus x86 (AWS documentation)</t>
  </si>
  <si>
    <t>Workload</t>
  </si>
  <si>
    <t>Baseline total</t>
  </si>
  <si>
    <t>Modeled ARM64 total</t>
  </si>
  <si>
    <t>Modeled savings</t>
  </si>
  <si>
    <t>Savings %</t>
  </si>
  <si>
    <t>Monthly Cost Estimate — AWS us-east-1</t>
  </si>
  <si>
    <t>Component</t>
  </si>
  <si>
    <t>Notes</t>
  </si>
  <si>
    <t>$0.20/M requests + $0.0000166667/GB-s x86</t>
  </si>
  <si>
    <t>API Gateway</t>
  </si>
  <si>
    <t>$3.50/M REST API calls</t>
  </si>
  <si>
    <t>Amazon API Gateway Pricing</t>
  </si>
  <si>
    <t>https://aws.amazon.com/api-gateway/pricing/</t>
  </si>
  <si>
    <t>DynamoDB</t>
  </si>
  <si>
    <t>$0.125/M reads; $0.625/M writes; Standard storage $0.25/GB-month</t>
  </si>
  <si>
    <t>Amazon DynamoDB Pricing</t>
  </si>
  <si>
    <t>https://aws.amazon.com/dynamodb/pricing/</t>
  </si>
  <si>
    <t>S3</t>
  </si>
  <si>
    <t>$0.023/GB-month; $0.005/1K PUT/LIST; $0.0004/1K GET</t>
  </si>
  <si>
    <t>Amazon S3 Pricing</t>
  </si>
  <si>
    <t>https://aws.amazon.com/s3/pricing/</t>
  </si>
  <si>
    <t>Gross list-price estimate; free tier excluded</t>
  </si>
  <si>
    <t>CloudWatch</t>
  </si>
  <si>
    <t>$0.50/GB Lambda-log ingestion tier; $0.03/GB-month archive</t>
  </si>
  <si>
    <t>Amazon CloudWatch Pricing</t>
  </si>
  <si>
    <t>https://aws.amazon.com/cloudwatch/pricing/</t>
  </si>
  <si>
    <t>Data transfer excluded because payload size was not specified</t>
  </si>
  <si>
    <t>$0.125/M eventual reads + $0.625/M writes</t>
  </si>
  <si>
    <t>$5/M traces after 100K free; $0.50/M retrieval/scan after 1M free</t>
  </si>
  <si>
    <t>AWS X-Ray / CloudWatch Pricing</t>
  </si>
  <si>
    <t>SNS</t>
  </si>
  <si>
    <t>$0.50/M requests; first 1M requests free</t>
  </si>
  <si>
    <t>Amazon SNS Pricing / FAQ</t>
  </si>
  <si>
    <t>https://aws.amazon.com/sns/pricing/</t>
  </si>
  <si>
    <t>Storage is below 25 GB in modeled workload; storage charge omitted</t>
  </si>
  <si>
    <t>$0.023/GB-month + $0.005/1K PUT/LIST + $0.0004/1K GET</t>
  </si>
  <si>
    <t>Delete requests are free; assumes 3 KB average object</t>
  </si>
  <si>
    <t>$0.50/GB ingest + $0.03/GB-month archive</t>
  </si>
  <si>
    <t>Models one month of retained logs; current console showed Never expire</t>
  </si>
  <si>
    <t>$5/M traces after first 100K/month</t>
  </si>
  <si>
    <t>100% sampling assumption; no retrieval/scan charges modeled</t>
  </si>
  <si>
    <t>$0.50/M requests; first 1M free</t>
  </si>
  <si>
    <t>Assumes 1,000 alarm publishes/month</t>
  </si>
  <si>
    <t>TOTAL</t>
  </si>
  <si>
    <t>Gross monthly list-price estimate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</si>
</sst>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0.0000"/>
  </numFmts>
  <fonts count="9">
    <font>
      <sz val="11.0"/>
      <color theme="1"/>
      <name val="Calibri"/>
      <scheme val="minor"/>
    </font>
    <font>
      <b/>
      <sz val="16.0"/>
      <color theme="1"/>
      <name val="Calibri"/>
      <scheme val="minor"/>
    </font>
    <font/>
    <font>
      <b/>
      <sz val="18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13.0"/>
      <color theme="1"/>
      <name val="Calibri"/>
      <scheme val="minor"/>
    </font>
    <font>
      <u/>
      <sz val="12.0"/>
      <color theme="1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</fills>
  <borders count="6">
    <border/>
    <border>
      <left style="thin">
        <color rgb="FFD9E1F2"/>
      </left>
      <top style="thin">
        <color rgb="FFD9E1F2"/>
      </top>
      <bottom style="thin">
        <color rgb="FFD9E1F2"/>
      </bottom>
    </border>
    <border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right style="thin">
        <color rgb="FFD9E1F2"/>
      </right>
      <top style="thin">
        <color rgb="FFD9E1F2"/>
      </top>
      <bottom style="thin">
        <color rgb="FFD9E1F2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shrinkToFit="0" vertical="top" wrapText="1"/>
    </xf>
    <xf borderId="2" fillId="0" fontId="2" numFmtId="0" xfId="0" applyBorder="1" applyFont="1"/>
    <xf borderId="1" fillId="0" fontId="3" numFmtId="0" xfId="0" applyAlignment="1" applyBorder="1" applyFont="1">
      <alignment shrinkToFit="0" vertical="top" wrapText="1"/>
    </xf>
    <xf borderId="3" fillId="2" fontId="4" numFmtId="0" xfId="0" applyAlignment="1" applyBorder="1" applyFill="1" applyFont="1">
      <alignment horizontal="center" vertical="center"/>
    </xf>
    <xf borderId="4" fillId="0" fontId="2" numFmtId="0" xfId="0" applyBorder="1" applyFont="1"/>
    <xf borderId="3" fillId="0" fontId="5" numFmtId="0" xfId="0" applyAlignment="1" applyBorder="1" applyFont="1">
      <alignment shrinkToFit="0" vertical="top" wrapText="1"/>
    </xf>
    <xf borderId="3" fillId="2" fontId="4" numFmtId="0" xfId="0" applyAlignment="1" applyBorder="1" applyFill="1" applyFont="1">
      <alignment shrinkToFit="0" vertical="top" wrapText="1"/>
    </xf>
    <xf borderId="0" fillId="0" fontId="6" numFmtId="0" xfId="0" applyFont="1"/>
    <xf borderId="0" fillId="0" fontId="5" numFmtId="0" xfId="0" applyAlignment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3" fillId="3" fontId="6" numFmtId="0" xfId="0" applyBorder="1" applyFill="1" applyFont="1"/>
    <xf borderId="3" fillId="0" fontId="5" numFmtId="0" xfId="0" applyBorder="1" applyFont="1"/>
    <xf borderId="3" fillId="0" fontId="5" numFmtId="164" xfId="0" applyBorder="1" applyFont="1" applyNumberFormat="1"/>
    <xf borderId="0" fillId="0" fontId="8" numFmtId="0" xfId="0" applyFont="1"/>
    <xf borderId="3" fillId="0" fontId="5" numFmtId="164" xfId="0" applyAlignment="1" applyBorder="1" applyFont="1" applyNumberFormat="1">
      <alignment shrinkToFit="0" vertical="top" wrapText="1"/>
    </xf>
    <xf borderId="3" fillId="0" fontId="5" numFmtId="10" xfId="0" applyBorder="1" applyFont="1" applyNumberFormat="1"/>
    <xf borderId="5" fillId="4" fontId="6" numFmtId="0" xfId="0" applyBorder="1" applyFill="1" applyFont="1"/>
    <xf borderId="5" fillId="4" fontId="5" numFmtId="0" xfId="0" applyAlignment="1" applyBorder="1" applyFill="1" applyFont="1">
      <alignment shrinkToFit="0" wrapText="1"/>
    </xf>
    <xf borderId="3" fillId="5" fontId="6" numFmtId="0" xfId="0" applyAlignment="1" applyBorder="1" applyFill="1" applyFont="1">
      <alignment shrinkToFit="0" vertical="top" wrapText="1"/>
    </xf>
    <xf borderId="3" fillId="5" fontId="6" numFmtId="164" xfId="0" applyAlignment="1" applyBorder="1" applyFill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Monthly Cost by Workload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'Cost Calculation'!$C$2:$E$2</c:f>
            </c:strRef>
          </c:cat>
          <c:val>
            <c:numRef>
              <c:f>'Cost Calculation'!$C$10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'Cost Calculation'!$C$2:$E$2</c:f>
            </c:strRef>
          </c:cat>
          <c:val>
            <c:numRef>
              <c:f>'Cost Calculation'!$D$10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'Cost Calculation'!$C$2:$E$2</c:f>
            </c:strRef>
          </c:cat>
          <c:val>
            <c:numRef>
              <c:f>'Cost Calculation'!$E$10</c:f>
              <c:numCache/>
            </c:numRef>
          </c:val>
        </c:ser>
        <c:axId val="501916773"/>
        <c:axId val="1528556164"/>
      </c:barChart>
      <c:catAx>
        <c:axId val="5019167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Workload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8556164"/>
      </c:catAx>
      <c:valAx>
        <c:axId val="15285561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USD /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19167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0</xdr:rowOff>
    </xdr:from>
    <xdr:ext cx="5038725" cy="25146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ws.amazon.com/lambda/pricing/" TargetMode="External"/><Relationship Id="rId2" Type="http://schemas.openxmlformats.org/officeDocument/2006/relationships/hyperlink" Target="https://aws.amazon.com/api-gateway/pricing/" TargetMode="External"/><Relationship Id="rId3" Type="http://schemas.openxmlformats.org/officeDocument/2006/relationships/hyperlink" Target="https://aws.amazon.com/dynamodb/pricing/" TargetMode="External"/><Relationship Id="rId4" Type="http://schemas.openxmlformats.org/officeDocument/2006/relationships/hyperlink" Target="https://aws.amazon.com/s3/pricing/" TargetMode="External"/><Relationship Id="rId5" Type="http://schemas.openxmlformats.org/officeDocument/2006/relationships/hyperlink" Target="https://aws.amazon.com/cloudwatch/pricing/" TargetMode="External"/><Relationship Id="rId6" Type="http://schemas.openxmlformats.org/officeDocument/2006/relationships/hyperlink" Target="https://aws.amazon.com/cloudwatch/pricing/" TargetMode="External"/><Relationship Id="rId7" Type="http://schemas.openxmlformats.org/officeDocument/2006/relationships/hyperlink" Target="https://aws.amazon.com/sns/pricing/" TargetMode="External"/><Relationship Id="rId8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105.0"/>
    <col customWidth="1" min="3" max="26" width="8.71"/>
  </cols>
  <sheetData>
    <row r="1">
      <c r="A1" s="4" t="s">
        <v>2</v>
      </c>
      <c r="B1" s="3"/>
      <c r="C1" s="3"/>
      <c r="D1" s="6"/>
    </row>
    <row r="2">
      <c r="A2" s="8" t="s">
        <v>10</v>
      </c>
      <c r="B2" s="8" t="s">
        <v>14</v>
      </c>
      <c r="C2" s="7"/>
      <c r="D2" s="7"/>
    </row>
    <row r="3">
      <c r="A3" s="7" t="s">
        <v>18</v>
      </c>
      <c r="B3" s="7" t="s">
        <v>19</v>
      </c>
      <c r="C3" s="7"/>
      <c r="D3" s="7"/>
    </row>
    <row r="4">
      <c r="A4" s="7" t="s">
        <v>21</v>
      </c>
      <c r="B4" s="7" t="s">
        <v>23</v>
      </c>
      <c r="C4" s="7"/>
      <c r="D4" s="7"/>
    </row>
    <row r="5">
      <c r="A5" s="7" t="s">
        <v>25</v>
      </c>
      <c r="B5" s="7" t="s">
        <v>26</v>
      </c>
      <c r="C5" s="7"/>
      <c r="D5" s="7"/>
    </row>
    <row r="6">
      <c r="A6" s="7" t="s">
        <v>28</v>
      </c>
      <c r="B6" s="7" t="s">
        <v>29</v>
      </c>
      <c r="C6" s="7"/>
      <c r="D6" s="7"/>
    </row>
    <row r="7">
      <c r="A7" s="7" t="s">
        <v>31</v>
      </c>
      <c r="B7" s="7" t="s">
        <v>33</v>
      </c>
      <c r="C7" s="7"/>
      <c r="D7" s="7"/>
    </row>
    <row r="8">
      <c r="A8" s="7" t="s">
        <v>35</v>
      </c>
      <c r="B8" s="7" t="s">
        <v>36</v>
      </c>
      <c r="C8" s="7"/>
      <c r="D8" s="7"/>
    </row>
    <row r="9">
      <c r="A9" s="7" t="s">
        <v>35</v>
      </c>
      <c r="B9" s="7" t="s">
        <v>38</v>
      </c>
      <c r="C9" s="7"/>
      <c r="D9" s="7"/>
    </row>
    <row r="10">
      <c r="A10" s="7" t="s">
        <v>40</v>
      </c>
      <c r="B10" s="7" t="s">
        <v>41</v>
      </c>
      <c r="C10" s="7"/>
      <c r="D10" s="7"/>
    </row>
    <row r="12">
      <c r="A12" s="9"/>
      <c r="B1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8.0"/>
    <col customWidth="1" min="2" max="2" width="34.0"/>
    <col customWidth="1" min="3" max="3" width="72.0"/>
    <col customWidth="1" min="4" max="26" width="8.71"/>
  </cols>
  <sheetData>
    <row r="1">
      <c r="A1" s="2" t="s">
        <v>1</v>
      </c>
      <c r="B1" s="3"/>
      <c r="C1" s="3"/>
      <c r="D1" s="6"/>
    </row>
    <row r="2">
      <c r="A2" s="8" t="s">
        <v>9</v>
      </c>
      <c r="B2" s="8" t="s">
        <v>12</v>
      </c>
      <c r="C2" s="8" t="s">
        <v>13</v>
      </c>
      <c r="D2" s="7"/>
    </row>
    <row r="3">
      <c r="A3" s="7" t="s">
        <v>15</v>
      </c>
      <c r="B3" s="7" t="s">
        <v>16</v>
      </c>
      <c r="C3" s="7" t="s">
        <v>17</v>
      </c>
      <c r="D3" s="7"/>
    </row>
    <row r="4">
      <c r="A4" s="7" t="s">
        <v>20</v>
      </c>
      <c r="B4" s="7">
        <v>10.0</v>
      </c>
      <c r="C4" s="7" t="s">
        <v>22</v>
      </c>
      <c r="D4" s="7"/>
    </row>
    <row r="5">
      <c r="A5" s="7" t="s">
        <v>24</v>
      </c>
      <c r="B5" s="7">
        <v>500.0</v>
      </c>
      <c r="C5" s="7" t="s">
        <v>22</v>
      </c>
      <c r="D5" s="7"/>
    </row>
    <row r="6">
      <c r="A6" s="7" t="s">
        <v>27</v>
      </c>
      <c r="B6" s="7">
        <v>5000.0</v>
      </c>
      <c r="C6" s="7" t="s">
        <v>22</v>
      </c>
      <c r="D6" s="7"/>
    </row>
    <row r="7">
      <c r="A7" s="7" t="s">
        <v>30</v>
      </c>
      <c r="B7" s="7">
        <v>30.0</v>
      </c>
      <c r="C7" s="7" t="s">
        <v>32</v>
      </c>
      <c r="D7" s="7"/>
    </row>
    <row r="8">
      <c r="A8" s="7" t="s">
        <v>34</v>
      </c>
      <c r="B8" s="7">
        <v>2.0</v>
      </c>
      <c r="C8" s="7" t="s">
        <v>32</v>
      </c>
      <c r="D8" s="7"/>
    </row>
    <row r="9">
      <c r="A9" s="7" t="s">
        <v>37</v>
      </c>
      <c r="B9" s="7">
        <v>0.5</v>
      </c>
      <c r="C9" s="7" t="s">
        <v>32</v>
      </c>
      <c r="D9" s="7"/>
    </row>
    <row r="10">
      <c r="A10" s="7" t="s">
        <v>39</v>
      </c>
      <c r="B10" s="7">
        <v>1.0</v>
      </c>
      <c r="C10" s="7" t="s">
        <v>32</v>
      </c>
      <c r="D10" s="7"/>
    </row>
    <row r="11">
      <c r="A11" s="7" t="s">
        <v>42</v>
      </c>
      <c r="B11" s="7">
        <v>0.2</v>
      </c>
      <c r="C11" s="7" t="s">
        <v>32</v>
      </c>
      <c r="D11" s="7"/>
    </row>
    <row r="12">
      <c r="A12" s="7" t="s">
        <v>43</v>
      </c>
      <c r="B12" s="7">
        <v>3.0</v>
      </c>
      <c r="C12" s="7" t="s">
        <v>44</v>
      </c>
      <c r="D12" s="7"/>
    </row>
    <row r="13">
      <c r="A13" s="7" t="s">
        <v>45</v>
      </c>
      <c r="B13" s="7">
        <v>128.0</v>
      </c>
      <c r="C13" s="7" t="s">
        <v>46</v>
      </c>
      <c r="D13" s="7"/>
    </row>
    <row r="14">
      <c r="A14" s="7" t="s">
        <v>47</v>
      </c>
      <c r="B14" s="7">
        <v>0.19</v>
      </c>
      <c r="C14" s="7" t="s">
        <v>48</v>
      </c>
      <c r="D14" s="7"/>
    </row>
    <row r="15">
      <c r="A15" s="7" t="s">
        <v>51</v>
      </c>
      <c r="B15" s="7">
        <v>2.0</v>
      </c>
      <c r="C15" s="7" t="s">
        <v>52</v>
      </c>
      <c r="D15" s="7"/>
    </row>
    <row r="16">
      <c r="A16" s="7" t="s">
        <v>53</v>
      </c>
      <c r="B16" s="7" t="s">
        <v>54</v>
      </c>
      <c r="C16" s="7" t="s">
        <v>55</v>
      </c>
      <c r="D16" s="7"/>
    </row>
    <row r="17">
      <c r="A17" s="7" t="s">
        <v>56</v>
      </c>
      <c r="B17" s="7" t="s">
        <v>57</v>
      </c>
      <c r="C17" s="7" t="s">
        <v>58</v>
      </c>
      <c r="D17" s="7"/>
    </row>
    <row r="18">
      <c r="A18" s="7" t="s">
        <v>59</v>
      </c>
      <c r="B18" s="7">
        <v>1000.0</v>
      </c>
      <c r="C18" s="7" t="s">
        <v>61</v>
      </c>
      <c r="D18" s="7"/>
    </row>
    <row r="19">
      <c r="A19" s="7" t="s">
        <v>25</v>
      </c>
      <c r="B19" s="7" t="s">
        <v>63</v>
      </c>
      <c r="C19" s="7" t="s">
        <v>64</v>
      </c>
      <c r="D19" s="7"/>
    </row>
    <row r="20">
      <c r="A20" s="7"/>
      <c r="B20" s="7"/>
      <c r="C20" s="7"/>
      <c r="D20" s="7"/>
    </row>
    <row r="21" ht="15.75" customHeight="1">
      <c r="A21" s="11" t="s">
        <v>65</v>
      </c>
      <c r="B21" s="3"/>
      <c r="C21" s="6"/>
      <c r="D21" s="7"/>
    </row>
    <row r="22" ht="15.75" customHeight="1">
      <c r="A22" s="7" t="s">
        <v>68</v>
      </c>
      <c r="B22" s="7" t="s">
        <v>69</v>
      </c>
      <c r="C22" s="7" t="s">
        <v>70</v>
      </c>
      <c r="D22" s="7"/>
    </row>
    <row r="23" ht="15.75" customHeight="1">
      <c r="A23" s="7" t="s">
        <v>71</v>
      </c>
      <c r="B23" s="7" t="s">
        <v>72</v>
      </c>
      <c r="C23" s="7" t="s">
        <v>73</v>
      </c>
      <c r="D23" s="7"/>
    </row>
    <row r="24" ht="15.75" customHeight="1">
      <c r="A24" s="7" t="s">
        <v>74</v>
      </c>
      <c r="B24" s="7" t="s">
        <v>75</v>
      </c>
      <c r="C24" s="7" t="s">
        <v>76</v>
      </c>
      <c r="D24" s="7"/>
    </row>
    <row r="25" ht="15.75" customHeight="1">
      <c r="A25" s="7" t="s">
        <v>77</v>
      </c>
      <c r="B25" s="7" t="s">
        <v>78</v>
      </c>
      <c r="C25" s="7" t="s">
        <v>79</v>
      </c>
      <c r="D25" s="7"/>
    </row>
    <row r="26" ht="15.75" customHeight="1">
      <c r="A26" s="7" t="s">
        <v>80</v>
      </c>
      <c r="B26" s="7" t="s">
        <v>81</v>
      </c>
      <c r="C26" s="7" t="s">
        <v>82</v>
      </c>
      <c r="D26" s="7"/>
    </row>
    <row r="27" ht="15.75" customHeight="1">
      <c r="A27" s="7" t="s">
        <v>83</v>
      </c>
      <c r="B27" s="7" t="s">
        <v>85</v>
      </c>
      <c r="C27" s="7" t="s">
        <v>87</v>
      </c>
      <c r="D27" s="7"/>
    </row>
    <row r="28" ht="15.75" customHeight="1">
      <c r="A28" s="7" t="s">
        <v>88</v>
      </c>
      <c r="B28" s="7" t="s">
        <v>89</v>
      </c>
      <c r="C28" s="7" t="s">
        <v>90</v>
      </c>
      <c r="D28" s="7"/>
    </row>
    <row r="29" ht="15.75" customHeight="1">
      <c r="A29" s="7" t="s">
        <v>91</v>
      </c>
      <c r="B29" s="7" t="s">
        <v>92</v>
      </c>
      <c r="C29" s="7" t="s">
        <v>93</v>
      </c>
      <c r="D29" s="7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1:C2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34.0"/>
    <col customWidth="1" min="2" max="2" width="62.0"/>
    <col customWidth="1" min="3" max="5" width="18.0"/>
    <col customWidth="1" min="6" max="26" width="8.71"/>
  </cols>
  <sheetData>
    <row r="1">
      <c r="A1" s="1" t="s">
        <v>0</v>
      </c>
    </row>
    <row r="2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</row>
    <row r="3">
      <c r="A3" s="7" t="s">
        <v>8</v>
      </c>
      <c r="B3" s="7" t="s">
        <v>11</v>
      </c>
      <c r="C3" s="7">
        <f>10*(2+0.5+1+0.2)*30</f>
        <v>1110</v>
      </c>
      <c r="D3" s="7">
        <f>500*(2+0.5+1+0.2)*30</f>
        <v>55500</v>
      </c>
      <c r="E3" s="7">
        <f>5000*(2+0.5+1+0.2)*30</f>
        <v>555000</v>
      </c>
    </row>
    <row r="4">
      <c r="A4" s="7" t="s">
        <v>49</v>
      </c>
      <c r="B4" s="7" t="s">
        <v>50</v>
      </c>
      <c r="C4" s="7">
        <f t="shared" ref="C4:E4" si="1">C3</f>
        <v>1110</v>
      </c>
      <c r="D4" s="7">
        <f t="shared" si="1"/>
        <v>55500</v>
      </c>
      <c r="E4" s="7">
        <f t="shared" si="1"/>
        <v>555000</v>
      </c>
    </row>
    <row r="5">
      <c r="A5" s="7" t="s">
        <v>60</v>
      </c>
      <c r="B5" s="7" t="s">
        <v>62</v>
      </c>
      <c r="C5" s="7">
        <f t="shared" ref="C5:E5" si="2">C4*(128/1024)*0.19</f>
        <v>26.3625</v>
      </c>
      <c r="D5" s="7">
        <f t="shared" si="2"/>
        <v>1318.125</v>
      </c>
      <c r="E5" s="7">
        <f t="shared" si="2"/>
        <v>13181.25</v>
      </c>
    </row>
    <row r="6">
      <c r="A6" s="7" t="s">
        <v>66</v>
      </c>
      <c r="B6" s="7" t="s">
        <v>67</v>
      </c>
      <c r="C6" s="7">
        <f>10*2*30</f>
        <v>600</v>
      </c>
      <c r="D6" s="7">
        <f>500*2*30</f>
        <v>30000</v>
      </c>
      <c r="E6" s="7">
        <f>5000*2*30</f>
        <v>300000</v>
      </c>
    </row>
    <row r="7">
      <c r="A7" s="7" t="s">
        <v>84</v>
      </c>
      <c r="B7" s="7" t="s">
        <v>86</v>
      </c>
      <c r="C7" s="7">
        <f>10*0.5*30</f>
        <v>150</v>
      </c>
      <c r="D7" s="7">
        <f>500*0.5*30</f>
        <v>7500</v>
      </c>
      <c r="E7" s="7">
        <f>5000*0.5*30</f>
        <v>75000</v>
      </c>
    </row>
    <row r="8">
      <c r="A8" s="7" t="s">
        <v>94</v>
      </c>
      <c r="B8" s="7" t="s">
        <v>95</v>
      </c>
      <c r="C8" s="7">
        <f>10*1*30</f>
        <v>300</v>
      </c>
      <c r="D8" s="7">
        <f>500*1*30</f>
        <v>15000</v>
      </c>
      <c r="E8" s="7">
        <f>5000*1*30</f>
        <v>150000</v>
      </c>
    </row>
    <row r="9">
      <c r="A9" s="7" t="s">
        <v>96</v>
      </c>
      <c r="B9" s="7" t="s">
        <v>97</v>
      </c>
      <c r="C9" s="7">
        <f>10*0.2*30</f>
        <v>60</v>
      </c>
      <c r="D9" s="7">
        <f>500*0.2*30</f>
        <v>3000</v>
      </c>
      <c r="E9" s="7">
        <f>5000*0.2*30</f>
        <v>30000</v>
      </c>
    </row>
    <row r="10">
      <c r="A10" s="7" t="s">
        <v>98</v>
      </c>
      <c r="B10" s="7" t="s">
        <v>99</v>
      </c>
      <c r="C10" s="7">
        <f t="shared" ref="C10:E10" si="3">C7</f>
        <v>150</v>
      </c>
      <c r="D10" s="7">
        <f t="shared" si="3"/>
        <v>7500</v>
      </c>
      <c r="E10" s="7">
        <f t="shared" si="3"/>
        <v>75000</v>
      </c>
    </row>
    <row r="11">
      <c r="A11" s="7" t="s">
        <v>100</v>
      </c>
      <c r="B11" s="7" t="s">
        <v>101</v>
      </c>
      <c r="C11" s="7">
        <f t="shared" ref="C11:E11" si="4">C10*3/1024/1024</f>
        <v>0.0004291534424</v>
      </c>
      <c r="D11" s="7">
        <f t="shared" si="4"/>
        <v>0.02145767212</v>
      </c>
      <c r="E11" s="7">
        <f t="shared" si="4"/>
        <v>0.2145767212</v>
      </c>
    </row>
    <row r="12">
      <c r="A12" s="7" t="s">
        <v>102</v>
      </c>
      <c r="B12" s="7" t="s">
        <v>103</v>
      </c>
      <c r="C12" s="7">
        <f>10*3*30</f>
        <v>900</v>
      </c>
      <c r="D12" s="7">
        <f>500*3*30</f>
        <v>45000</v>
      </c>
      <c r="E12" s="7">
        <f>5000*3*30</f>
        <v>450000</v>
      </c>
    </row>
    <row r="13">
      <c r="A13" s="7" t="s">
        <v>104</v>
      </c>
      <c r="B13" s="7" t="s">
        <v>105</v>
      </c>
      <c r="C13" s="7">
        <f>10*0.7*30</f>
        <v>210</v>
      </c>
      <c r="D13" s="7">
        <f>500*0.7*30</f>
        <v>10500</v>
      </c>
      <c r="E13" s="7">
        <f>5000*0.7*30</f>
        <v>105000</v>
      </c>
    </row>
    <row r="14">
      <c r="A14" s="7" t="s">
        <v>106</v>
      </c>
      <c r="B14" s="7" t="s">
        <v>107</v>
      </c>
      <c r="C14" s="7">
        <f t="shared" ref="C14:E14" si="5">C4*2/1024/1024</f>
        <v>0.002117156982</v>
      </c>
      <c r="D14" s="7">
        <f t="shared" si="5"/>
        <v>0.1058578491</v>
      </c>
      <c r="E14" s="7">
        <f t="shared" si="5"/>
        <v>1.058578491</v>
      </c>
    </row>
    <row r="15">
      <c r="A15" s="7" t="s">
        <v>108</v>
      </c>
      <c r="B15" s="7" t="s">
        <v>109</v>
      </c>
      <c r="C15" s="7">
        <f t="shared" ref="C15:E15" si="6">C4</f>
        <v>1110</v>
      </c>
      <c r="D15" s="7">
        <f t="shared" si="6"/>
        <v>55500</v>
      </c>
      <c r="E15" s="7">
        <f t="shared" si="6"/>
        <v>555000</v>
      </c>
    </row>
    <row r="16">
      <c r="A16" s="7" t="s">
        <v>110</v>
      </c>
      <c r="B16" s="7" t="s">
        <v>111</v>
      </c>
      <c r="C16" s="7">
        <f t="shared" ref="C16:E16" si="7">1000</f>
        <v>1000</v>
      </c>
      <c r="D16" s="7">
        <f t="shared" si="7"/>
        <v>1000</v>
      </c>
      <c r="E16" s="7">
        <f t="shared" si="7"/>
        <v>1000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20.0"/>
    <col customWidth="1" min="2" max="2" width="48.0"/>
    <col customWidth="1" min="3" max="5" width="18.0"/>
    <col customWidth="1" min="6" max="6" width="58.0"/>
    <col customWidth="1" min="7" max="26" width="8.71"/>
  </cols>
  <sheetData>
    <row r="1">
      <c r="A1" s="1" t="s">
        <v>135</v>
      </c>
    </row>
    <row r="2">
      <c r="A2" s="5" t="s">
        <v>136</v>
      </c>
      <c r="B2" s="5" t="s">
        <v>25</v>
      </c>
      <c r="C2" s="5" t="s">
        <v>5</v>
      </c>
      <c r="D2" s="5" t="s">
        <v>6</v>
      </c>
      <c r="E2" s="5" t="s">
        <v>7</v>
      </c>
      <c r="F2" s="5" t="s">
        <v>137</v>
      </c>
    </row>
    <row r="3">
      <c r="A3" s="7" t="s">
        <v>124</v>
      </c>
      <c r="B3" s="7" t="s">
        <v>138</v>
      </c>
      <c r="C3" s="16">
        <f>('Usage Calculation'!C4/1000000)*0.2+'Usage Calculation'!C5*0.0000166667</f>
        <v>0.0006613758788</v>
      </c>
      <c r="D3" s="16">
        <f>('Usage Calculation'!D4/1000000)*0.2+'Usage Calculation'!D5*0.0000166667</f>
        <v>0.03306879394</v>
      </c>
      <c r="E3" s="16">
        <f>('Usage Calculation'!E4/1000000)*0.2+'Usage Calculation'!E5*0.0000166667</f>
        <v>0.3306879394</v>
      </c>
      <c r="F3" s="7" t="s">
        <v>151</v>
      </c>
    </row>
    <row r="4">
      <c r="A4" s="7" t="s">
        <v>139</v>
      </c>
      <c r="B4" s="7" t="s">
        <v>140</v>
      </c>
      <c r="C4" s="16">
        <f>'Usage Calculation'!C3/1000000*3.5</f>
        <v>0.003885</v>
      </c>
      <c r="D4" s="16">
        <f>'Usage Calculation'!D3/1000000*3.5</f>
        <v>0.19425</v>
      </c>
      <c r="E4" s="16">
        <f>'Usage Calculation'!E3/1000000*3.5</f>
        <v>1.9425</v>
      </c>
      <c r="F4" s="7" t="s">
        <v>156</v>
      </c>
    </row>
    <row r="5">
      <c r="A5" s="7" t="s">
        <v>143</v>
      </c>
      <c r="B5" s="7" t="s">
        <v>157</v>
      </c>
      <c r="C5" s="16">
        <f>'Usage Calculation'!C12/1000000*0.125+'Usage Calculation'!C13/1000000*0.625</f>
        <v>0.00024375</v>
      </c>
      <c r="D5" s="16">
        <f>'Usage Calculation'!D12/1000000*0.125+'Usage Calculation'!D13/1000000*0.625</f>
        <v>0.0121875</v>
      </c>
      <c r="E5" s="16">
        <f>'Usage Calculation'!E12/1000000*0.125+'Usage Calculation'!E13/1000000*0.625</f>
        <v>0.121875</v>
      </c>
      <c r="F5" s="7" t="s">
        <v>164</v>
      </c>
    </row>
    <row r="6">
      <c r="A6" s="7" t="s">
        <v>147</v>
      </c>
      <c r="B6" s="7" t="s">
        <v>165</v>
      </c>
      <c r="C6" s="16">
        <f>'Usage Calculation'!C11*0.023+'Usage Calculation'!C7/1000*0.005+'Usage Calculation'!C6/1000*0.005+'Usage Calculation'!C8/1000*0.0004</f>
        <v>0.003879870529</v>
      </c>
      <c r="D6" s="16">
        <f>'Usage Calculation'!D11*0.023+'Usage Calculation'!D7/1000*0.005+'Usage Calculation'!D6/1000*0.005+'Usage Calculation'!D8/1000*0.0004</f>
        <v>0.1939935265</v>
      </c>
      <c r="E6" s="16">
        <f>'Usage Calculation'!E11*0.023+'Usage Calculation'!E7/1000*0.005+'Usage Calculation'!E6/1000*0.005+'Usage Calculation'!E8/1000*0.0004</f>
        <v>1.939935265</v>
      </c>
      <c r="F6" s="7" t="s">
        <v>166</v>
      </c>
    </row>
    <row r="7">
      <c r="A7" s="7" t="s">
        <v>152</v>
      </c>
      <c r="B7" s="7" t="s">
        <v>167</v>
      </c>
      <c r="C7" s="16">
        <f>'Usage Calculation'!C14*0.5+'Usage Calculation'!C14*0.03</f>
        <v>0.001122093201</v>
      </c>
      <c r="D7" s="16">
        <f>'Usage Calculation'!D14*0.5+'Usage Calculation'!D14*0.03</f>
        <v>0.05610466003</v>
      </c>
      <c r="E7" s="16">
        <f>'Usage Calculation'!E14*0.5+'Usage Calculation'!E14*0.03</f>
        <v>0.5610466003</v>
      </c>
      <c r="F7" s="7" t="s">
        <v>168</v>
      </c>
    </row>
    <row r="8">
      <c r="A8" s="7" t="s">
        <v>91</v>
      </c>
      <c r="B8" s="7" t="s">
        <v>169</v>
      </c>
      <c r="C8" s="16">
        <f>MAX(0,'Usage Calculation'!C15-100000)/1000000*5</f>
        <v>0</v>
      </c>
      <c r="D8" s="16">
        <f>MAX(0,'Usage Calculation'!D15-100000)/1000000*5</f>
        <v>0</v>
      </c>
      <c r="E8" s="16">
        <f>MAX(0,'Usage Calculation'!E15-100000)/1000000*5</f>
        <v>2.275</v>
      </c>
      <c r="F8" s="7" t="s">
        <v>170</v>
      </c>
    </row>
    <row r="9">
      <c r="A9" s="7" t="s">
        <v>160</v>
      </c>
      <c r="B9" s="7" t="s">
        <v>171</v>
      </c>
      <c r="C9" s="16">
        <f>MAX(0,'Usage Calculation'!C16-1000000)/1000000*0.5</f>
        <v>0</v>
      </c>
      <c r="D9" s="16">
        <f>MAX(0,'Usage Calculation'!D16-1000000)/1000000*0.5</f>
        <v>0</v>
      </c>
      <c r="E9" s="16">
        <f>MAX(0,'Usage Calculation'!E16-1000000)/1000000*0.5</f>
        <v>0</v>
      </c>
      <c r="F9" s="7" t="s">
        <v>172</v>
      </c>
    </row>
    <row r="10">
      <c r="A10" s="20" t="s">
        <v>173</v>
      </c>
      <c r="B10" s="20"/>
      <c r="C10" s="21">
        <f t="shared" ref="C10:E10" si="1">SUM(C3:C9)</f>
        <v>0.009792089609</v>
      </c>
      <c r="D10" s="21">
        <f t="shared" si="1"/>
        <v>0.4896044804</v>
      </c>
      <c r="E10" s="21">
        <f t="shared" si="1"/>
        <v>7.171044804</v>
      </c>
      <c r="F10" s="20" t="s">
        <v>174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70.0"/>
    <col customWidth="1" min="3" max="3" width="22.0"/>
    <col customWidth="1" min="4" max="4" width="20.0"/>
    <col customWidth="1" min="5" max="5" width="14.0"/>
    <col customWidth="1" min="6" max="26" width="8.71"/>
  </cols>
  <sheetData>
    <row r="1">
      <c r="A1" s="1" t="s">
        <v>112</v>
      </c>
    </row>
    <row r="3">
      <c r="A3" s="12" t="s">
        <v>113</v>
      </c>
      <c r="B3" s="7" t="s">
        <v>115</v>
      </c>
    </row>
    <row r="4">
      <c r="A4" s="12" t="s">
        <v>117</v>
      </c>
      <c r="B4" s="7" t="s">
        <v>120</v>
      </c>
    </row>
    <row r="5">
      <c r="A5" s="12" t="s">
        <v>122</v>
      </c>
      <c r="B5" s="7" t="s">
        <v>123</v>
      </c>
    </row>
    <row r="6">
      <c r="A6" s="12" t="s">
        <v>126</v>
      </c>
      <c r="B6" s="7" t="s">
        <v>129</v>
      </c>
    </row>
    <row r="8">
      <c r="A8" s="5" t="s">
        <v>130</v>
      </c>
      <c r="B8" s="5" t="s">
        <v>131</v>
      </c>
      <c r="C8" s="5" t="s">
        <v>132</v>
      </c>
      <c r="D8" s="5" t="s">
        <v>133</v>
      </c>
      <c r="E8" s="5" t="s">
        <v>134</v>
      </c>
    </row>
    <row r="9">
      <c r="A9" s="13" t="s">
        <v>5</v>
      </c>
      <c r="B9" s="14">
        <f>'Cost Calculation'!C10</f>
        <v>0.009792089609</v>
      </c>
      <c r="C9" s="14">
        <f>B9-'Cost Calculation'!C3*0.2</f>
        <v>0.009659814433</v>
      </c>
      <c r="D9" s="14">
        <f t="shared" ref="D9:D11" si="1">B9-C9</f>
        <v>0.0001322751758</v>
      </c>
      <c r="E9" s="17">
        <f t="shared" ref="E9:E11" si="2">D9/B9</f>
        <v>0.01350837064</v>
      </c>
    </row>
    <row r="10">
      <c r="A10" s="13" t="s">
        <v>6</v>
      </c>
      <c r="B10" s="14">
        <f>'Cost Calculation'!D10</f>
        <v>0.4896044804</v>
      </c>
      <c r="C10" s="14">
        <f>B10-'Cost Calculation'!D3*0.2</f>
        <v>0.4829907216</v>
      </c>
      <c r="D10" s="14">
        <f t="shared" si="1"/>
        <v>0.006613758787</v>
      </c>
      <c r="E10" s="17">
        <f t="shared" si="2"/>
        <v>0.01350837064</v>
      </c>
    </row>
    <row r="11">
      <c r="A11" s="13" t="s">
        <v>7</v>
      </c>
      <c r="B11" s="14">
        <f>'Cost Calculation'!E10</f>
        <v>7.171044804</v>
      </c>
      <c r="C11" s="14">
        <f>B11-'Cost Calculation'!E3*0.2</f>
        <v>7.104907216</v>
      </c>
      <c r="D11" s="14">
        <f t="shared" si="1"/>
        <v>0.06613758787</v>
      </c>
      <c r="E11" s="17">
        <f t="shared" si="2"/>
        <v>0.009222866358</v>
      </c>
    </row>
    <row r="13">
      <c r="A13" s="18"/>
      <c r="B13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5.0"/>
    <col customWidth="1" min="3" max="3" width="32.0"/>
    <col customWidth="1" min="4" max="4" width="65.0"/>
    <col customWidth="1" min="5" max="26" width="8.71"/>
  </cols>
  <sheetData>
    <row r="1">
      <c r="A1" s="1" t="s">
        <v>114</v>
      </c>
    </row>
    <row r="2">
      <c r="A2" s="5" t="s">
        <v>116</v>
      </c>
      <c r="B2" s="5" t="s">
        <v>118</v>
      </c>
      <c r="C2" s="5" t="s">
        <v>119</v>
      </c>
      <c r="D2" s="5" t="s">
        <v>121</v>
      </c>
    </row>
    <row r="3">
      <c r="A3" s="7" t="s">
        <v>124</v>
      </c>
      <c r="B3" s="7" t="s">
        <v>125</v>
      </c>
      <c r="C3" s="7" t="s">
        <v>127</v>
      </c>
      <c r="D3" s="15" t="s">
        <v>128</v>
      </c>
    </row>
    <row r="4">
      <c r="A4" s="7" t="s">
        <v>139</v>
      </c>
      <c r="B4" s="7" t="s">
        <v>140</v>
      </c>
      <c r="C4" s="7" t="s">
        <v>141</v>
      </c>
      <c r="D4" s="15" t="s">
        <v>142</v>
      </c>
    </row>
    <row r="5">
      <c r="A5" s="7" t="s">
        <v>143</v>
      </c>
      <c r="B5" s="7" t="s">
        <v>144</v>
      </c>
      <c r="C5" s="7" t="s">
        <v>145</v>
      </c>
      <c r="D5" s="15" t="s">
        <v>146</v>
      </c>
    </row>
    <row r="6">
      <c r="A6" s="7" t="s">
        <v>147</v>
      </c>
      <c r="B6" s="7" t="s">
        <v>148</v>
      </c>
      <c r="C6" s="7" t="s">
        <v>149</v>
      </c>
      <c r="D6" s="15" t="s">
        <v>150</v>
      </c>
    </row>
    <row r="7">
      <c r="A7" s="7" t="s">
        <v>152</v>
      </c>
      <c r="B7" s="7" t="s">
        <v>153</v>
      </c>
      <c r="C7" s="7" t="s">
        <v>154</v>
      </c>
      <c r="D7" s="15" t="s">
        <v>155</v>
      </c>
    </row>
    <row r="8">
      <c r="A8" s="7" t="s">
        <v>91</v>
      </c>
      <c r="B8" s="7" t="s">
        <v>158</v>
      </c>
      <c r="C8" s="7" t="s">
        <v>159</v>
      </c>
      <c r="D8" s="15" t="s">
        <v>155</v>
      </c>
    </row>
    <row r="9">
      <c r="A9" s="7" t="s">
        <v>160</v>
      </c>
      <c r="B9" s="7" t="s">
        <v>161</v>
      </c>
      <c r="C9" s="7" t="s">
        <v>162</v>
      </c>
      <c r="D9" s="15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</hyperlinks>
  <printOptions/>
  <pageMargins bottom="1.0" footer="0.0" header="0.0" left="0.75" right="0.75" top="1.0"/>
  <pageSetup orientation="landscape"/>
  <drawing r:id="rId8"/>
</worksheet>
</file>